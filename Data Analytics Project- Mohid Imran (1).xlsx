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45A796C3-D422-4279-865C-7F29EEAB641B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ta" sheetId="1" r:id="rId1"/>
    <sheet name="Revenue by Product" sheetId="2" r:id="rId2"/>
    <sheet name="Revenue by Region" sheetId="4" r:id="rId3"/>
  </sheets>
  <calcPr calcId="191028"/>
  <pivotCaches>
    <pivotCache cacheId="12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<sst xmlns="http://schemas.openxmlformats.org/spreadsheetml/2006/main" count="115" uniqueCount="24">
  <si>
    <t>Order ID</t>
  </si>
  <si>
    <t>Date</t>
  </si>
  <si>
    <t>Product</t>
  </si>
  <si>
    <t>Category</t>
  </si>
  <si>
    <t>Region</t>
  </si>
  <si>
    <t>Unit Price</t>
  </si>
  <si>
    <t>Quantity</t>
  </si>
  <si>
    <t>Revenue</t>
  </si>
  <si>
    <t>Latte</t>
  </si>
  <si>
    <t>Drinks</t>
  </si>
  <si>
    <t>East</t>
  </si>
  <si>
    <t>Cappuccino</t>
  </si>
  <si>
    <t>West</t>
  </si>
  <si>
    <t>Sandwich</t>
  </si>
  <si>
    <t>Food</t>
  </si>
  <si>
    <t>North</t>
  </si>
  <si>
    <t>Tea</t>
  </si>
  <si>
    <t>South</t>
  </si>
  <si>
    <t>Muffin</t>
  </si>
  <si>
    <t>Snacks</t>
  </si>
  <si>
    <t>Coffee</t>
  </si>
  <si>
    <t>Cookie</t>
  </si>
  <si>
    <t>Sum of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</si>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</sst>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Project- Mohid Imran.xlsx]Revenue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Latte</c:v>
                </c:pt>
                <c:pt idx="1">
                  <c:v>Coffee</c:v>
                </c:pt>
                <c:pt idx="2">
                  <c:v>Cappuccino</c:v>
                </c:pt>
                <c:pt idx="3">
                  <c:v>Tea</c:v>
                </c:pt>
                <c:pt idx="4">
                  <c:v>Muffin</c:v>
                </c:pt>
                <c:pt idx="5">
                  <c:v>Sandwich</c:v>
                </c:pt>
                <c:pt idx="6">
                  <c:v>Cookie</c:v>
                </c:pt>
              </c:strCache>
            </c:strRef>
          </c:cat>
          <c:val>
            <c:numRef>
              <c:f>'Revenue by Product'!$B$4:$B$11</c:f>
              <c:numCache>
                <c:formatCode>General</c:formatCode>
                <c:ptCount val="7"/>
                <c:pt idx="0">
                  <c:v>247.5</c:v>
                </c:pt>
                <c:pt idx="1">
                  <c:v>204.75</c:v>
                </c:pt>
                <c:pt idx="2">
                  <c:v>142.5</c:v>
                </c:pt>
                <c:pt idx="3">
                  <c:v>138</c:v>
                </c:pt>
                <c:pt idx="4">
                  <c:v>122.5</c:v>
                </c:pt>
                <c:pt idx="5">
                  <c:v>120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3-4701-9AE1-B0DBE60A1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730759"/>
        <c:axId val="1916928519"/>
      </c:barChart>
      <c:catAx>
        <c:axId val="1958730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928519"/>
        <c:crosses val="autoZero"/>
        <c:auto val="1"/>
        <c:lblAlgn val="ctr"/>
        <c:lblOffset val="100"/>
        <c:noMultiLvlLbl val="0"/>
      </c:catAx>
      <c:valAx>
        <c:axId val="1916928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730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Project- Mohid Imran.xlsx]Revenue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'Revenue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'Revenue by Region'!$B$4:$B$8</c:f>
              <c:numCache>
                <c:formatCode>General</c:formatCode>
                <c:ptCount val="4"/>
                <c:pt idx="0">
                  <c:v>331</c:v>
                </c:pt>
                <c:pt idx="1">
                  <c:v>284.5</c:v>
                </c:pt>
                <c:pt idx="2">
                  <c:v>248.25</c:v>
                </c:pt>
                <c:pt idx="3">
                  <c:v>201.5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C-4C34-9EAF-3588217D1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943943"/>
        <c:axId val="1907945991"/>
      </c:barChart>
      <c:catAx>
        <c:axId val="190794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45991"/>
        <c:crosses val="autoZero"/>
        <c:auto val="1"/>
        <c:lblAlgn val="ctr"/>
        <c:lblOffset val="100"/>
        <c:noMultiLvlLbl val="0"/>
      </c:catAx>
      <c:valAx>
        <c:axId val="1907945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4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152400</xdr:rowOff>
    </xdr:from>
    <xdr:to>
      <xdr:col>11</xdr:col>
      <xdr:colOff>57150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E28E48-18C3-262B-972F-5747B365D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161925</xdr:rowOff>
    </xdr:from>
    <xdr:to>
      <xdr:col>10</xdr:col>
      <xdr:colOff>314325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435D2-C1F7-E235-B334-1C659C20A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733578240739" createdVersion="8" refreshedVersion="8" minRefreshableVersion="3" recordCount="30" xr:uid="{CEF91DA8-B691-44B5-B097-94162FC91BCB}">
  <cacheSource type="worksheet">
    <worksheetSource ref="A1:H31" sheet="Data"/>
  </cacheSource>
  <cacheFields count="8">
    <cacheField name="Order 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6-01-01T00:00:00" maxDate="2026-01-11T00:00:00"/>
    </cacheField>
    <cacheField name="Product" numFmtId="0">
      <sharedItems count="7">
        <s v="Latte"/>
        <s v="Cappuccino"/>
        <s v="Sandwich"/>
        <s v="Tea"/>
        <s v="Muffin"/>
        <s v="Coffee"/>
        <s v="Cookie"/>
      </sharedItems>
    </cacheField>
    <cacheField name="Category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Unit Price" numFmtId="0">
      <sharedItems containsSemiMixedTypes="0" containsString="0" containsNumber="1" minValue="2.5" maxValue="6"/>
    </cacheField>
    <cacheField name="Quantity" numFmtId="0">
      <sharedItems containsSemiMixedTypes="0" containsString="0" containsNumber="1" containsInteger="1" minValue="4" maxValue="18"/>
    </cacheField>
    <cacheField name="Revenue" numFmtId="0">
      <sharedItems containsSemiMixedTypes="0" containsString="0" containsNumber="1" minValue="17.5" maxValue="5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6-01-01T00:00:00"/>
    <x v="0"/>
    <s v="Drinks"/>
    <x v="0"/>
    <n v="4.5"/>
    <n v="10"/>
    <n v="45"/>
  </r>
  <r>
    <n v="1002"/>
    <d v="2026-01-01T00:00:00"/>
    <x v="1"/>
    <s v="Drinks"/>
    <x v="1"/>
    <n v="4.75"/>
    <n v="8"/>
    <n v="38"/>
  </r>
  <r>
    <n v="1003"/>
    <d v="2026-01-01T00:00:00"/>
    <x v="2"/>
    <s v="Food"/>
    <x v="0"/>
    <n v="6"/>
    <n v="5"/>
    <n v="30"/>
  </r>
  <r>
    <n v="1004"/>
    <d v="2026-01-02T00:00:00"/>
    <x v="0"/>
    <s v="Drinks"/>
    <x v="2"/>
    <n v="4.5"/>
    <n v="7"/>
    <n v="31.5"/>
  </r>
  <r>
    <n v="1005"/>
    <d v="2026-01-02T00:00:00"/>
    <x v="3"/>
    <s v="Drinks"/>
    <x v="3"/>
    <n v="3"/>
    <n v="12"/>
    <n v="36"/>
  </r>
  <r>
    <n v="1006"/>
    <d v="2026-01-02T00:00:00"/>
    <x v="4"/>
    <s v="Snacks"/>
    <x v="1"/>
    <n v="3.5"/>
    <n v="6"/>
    <n v="21"/>
  </r>
  <r>
    <n v="1007"/>
    <d v="2026-01-03T00:00:00"/>
    <x v="5"/>
    <s v="Drinks"/>
    <x v="0"/>
    <n v="3.25"/>
    <n v="15"/>
    <n v="48.75"/>
  </r>
  <r>
    <n v="1008"/>
    <d v="2026-01-03T00:00:00"/>
    <x v="2"/>
    <s v="Food"/>
    <x v="3"/>
    <n v="6"/>
    <n v="4"/>
    <n v="24"/>
  </r>
  <r>
    <n v="1009"/>
    <d v="2026-01-03T00:00:00"/>
    <x v="6"/>
    <s v="Snacks"/>
    <x v="2"/>
    <n v="2.5"/>
    <n v="10"/>
    <n v="25"/>
  </r>
  <r>
    <n v="1010"/>
    <d v="2026-01-04T00:00:00"/>
    <x v="0"/>
    <s v="Drinks"/>
    <x v="1"/>
    <n v="4.5"/>
    <n v="9"/>
    <n v="40.5"/>
  </r>
  <r>
    <n v="1011"/>
    <d v="2026-01-04T00:00:00"/>
    <x v="1"/>
    <s v="Drinks"/>
    <x v="0"/>
    <n v="4.75"/>
    <n v="6"/>
    <n v="28.5"/>
  </r>
  <r>
    <n v="1012"/>
    <d v="2026-01-04T00:00:00"/>
    <x v="4"/>
    <s v="Snacks"/>
    <x v="3"/>
    <n v="3.5"/>
    <n v="8"/>
    <n v="28"/>
  </r>
  <r>
    <n v="1013"/>
    <d v="2026-01-05T00:00:00"/>
    <x v="3"/>
    <s v="Drinks"/>
    <x v="2"/>
    <n v="3"/>
    <n v="11"/>
    <n v="33"/>
  </r>
  <r>
    <n v="1014"/>
    <d v="2026-01-05T00:00:00"/>
    <x v="5"/>
    <s v="Drinks"/>
    <x v="1"/>
    <n v="3.25"/>
    <n v="14"/>
    <n v="45.5"/>
  </r>
  <r>
    <n v="1015"/>
    <d v="2026-01-05T00:00:00"/>
    <x v="4"/>
    <s v="Snacks"/>
    <x v="0"/>
    <n v="3.5"/>
    <n v="7"/>
    <n v="24.5"/>
  </r>
  <r>
    <n v="1016"/>
    <d v="2026-01-06T00:00:00"/>
    <x v="0"/>
    <s v="Drinks"/>
    <x v="3"/>
    <n v="4.5"/>
    <n v="10"/>
    <n v="45"/>
  </r>
  <r>
    <n v="1017"/>
    <d v="2026-01-06T00:00:00"/>
    <x v="6"/>
    <s v="Snacks"/>
    <x v="1"/>
    <n v="2.5"/>
    <n v="12"/>
    <n v="30"/>
  </r>
  <r>
    <n v="1018"/>
    <d v="2026-01-06T00:00:00"/>
    <x v="4"/>
    <s v="Snacks"/>
    <x v="2"/>
    <n v="3.5"/>
    <n v="5"/>
    <n v="17.5"/>
  </r>
  <r>
    <n v="1019"/>
    <d v="2026-01-07T00:00:00"/>
    <x v="1"/>
    <s v="Drinks"/>
    <x v="0"/>
    <n v="4.75"/>
    <n v="9"/>
    <n v="42.75"/>
  </r>
  <r>
    <n v="1020"/>
    <d v="2026-01-07T00:00:00"/>
    <x v="3"/>
    <s v="Drinks"/>
    <x v="1"/>
    <n v="3"/>
    <n v="13"/>
    <n v="39"/>
  </r>
  <r>
    <n v="1021"/>
    <d v="2026-01-07T00:00:00"/>
    <x v="5"/>
    <s v="Drinks"/>
    <x v="3"/>
    <n v="3.25"/>
    <n v="16"/>
    <n v="52"/>
  </r>
  <r>
    <n v="1022"/>
    <d v="2026-01-08T00:00:00"/>
    <x v="0"/>
    <s v="Drinks"/>
    <x v="2"/>
    <n v="4.5"/>
    <n v="8"/>
    <n v="36"/>
  </r>
  <r>
    <n v="1023"/>
    <d v="2026-01-08T00:00:00"/>
    <x v="2"/>
    <s v="Food"/>
    <x v="1"/>
    <n v="6"/>
    <n v="6"/>
    <n v="36"/>
  </r>
  <r>
    <n v="1024"/>
    <d v="2026-01-08T00:00:00"/>
    <x v="6"/>
    <s v="Snacks"/>
    <x v="0"/>
    <n v="2.5"/>
    <n v="14"/>
    <n v="35"/>
  </r>
  <r>
    <n v="1025"/>
    <d v="2026-01-09T00:00:00"/>
    <x v="1"/>
    <s v="Drinks"/>
    <x v="3"/>
    <n v="4.75"/>
    <n v="7"/>
    <n v="33.25"/>
  </r>
  <r>
    <n v="1026"/>
    <d v="2026-01-09T00:00:00"/>
    <x v="3"/>
    <s v="Drinks"/>
    <x v="0"/>
    <n v="3"/>
    <n v="10"/>
    <n v="30"/>
  </r>
  <r>
    <n v="1027"/>
    <d v="2026-01-09T00:00:00"/>
    <x v="4"/>
    <s v="Snacks"/>
    <x v="1"/>
    <n v="3.5"/>
    <n v="9"/>
    <n v="31.5"/>
  </r>
  <r>
    <n v="1028"/>
    <d v="2026-01-10T00:00:00"/>
    <x v="5"/>
    <s v="Drinks"/>
    <x v="2"/>
    <n v="3.25"/>
    <n v="18"/>
    <n v="58.5"/>
  </r>
  <r>
    <n v="1029"/>
    <d v="2026-01-10T00:00:00"/>
    <x v="0"/>
    <s v="Drinks"/>
    <x v="1"/>
    <n v="4.5"/>
    <n v="11"/>
    <n v="49.5"/>
  </r>
  <r>
    <n v="1030"/>
    <d v="2026-01-10T00:00:00"/>
    <x v="2"/>
    <s v="Food"/>
    <x v="3"/>
    <n v="6"/>
    <n v="5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B22A-8EE9-4F1F-BC67-1C0BCF29CBBF}" name="PivotTable1" cacheId="1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8">
    <pivotField compact="0" outline="0" showAll="0"/>
    <pivotField compact="0" numFmtId="14" outline="0" showAll="0"/>
    <pivotField axis="axisRow" compact="0" outline="0" showAll="0" sortType="descending">
      <items count="8">
        <item x="1"/>
        <item x="5"/>
        <item x="6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8">
    <i>
      <x v="3"/>
    </i>
    <i>
      <x v="1"/>
    </i>
    <i>
      <x/>
    </i>
    <i>
      <x v="6"/>
    </i>
    <i>
      <x v="4"/>
    </i>
    <i>
      <x v="5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BCE91-BBD8-4C68-AD7A-4A7EA72B87AC}" name="PivotTable2" cacheId="1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8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I31" sqref="A1:I31"/>
    </sheetView>
  </sheetViews>
  <sheetFormatPr defaultRowHeight="15"/>
  <cols>
    <col min="2" max="2" width="10.85546875" bestFit="1" customWidth="1"/>
    <col min="3" max="3" width="11.42578125" bestFit="1" customWidth="1"/>
    <col min="6" max="6" width="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">
        <v>46023</v>
      </c>
      <c r="C2" t="s">
        <v>8</v>
      </c>
      <c r="D2" t="s">
        <v>9</v>
      </c>
      <c r="E2" t="s">
        <v>10</v>
      </c>
      <c r="F2">
        <v>4.5</v>
      </c>
      <c r="G2">
        <v>10</v>
      </c>
      <c r="H2">
        <f>F2*G2</f>
        <v>45</v>
      </c>
    </row>
    <row r="3" spans="1:8">
      <c r="A3">
        <v>1002</v>
      </c>
      <c r="B3" s="1">
        <v>46023</v>
      </c>
      <c r="C3" t="s">
        <v>11</v>
      </c>
      <c r="D3" t="s">
        <v>9</v>
      </c>
      <c r="E3" t="s">
        <v>12</v>
      </c>
      <c r="F3">
        <v>4.75</v>
      </c>
      <c r="G3">
        <v>8</v>
      </c>
      <c r="H3">
        <f t="shared" ref="H3:H31" si="0">F3*G3</f>
        <v>38</v>
      </c>
    </row>
    <row r="4" spans="1:8">
      <c r="A4">
        <v>1003</v>
      </c>
      <c r="B4" s="1">
        <v>46023</v>
      </c>
      <c r="C4" t="s">
        <v>13</v>
      </c>
      <c r="D4" t="s">
        <v>14</v>
      </c>
      <c r="E4" t="s">
        <v>10</v>
      </c>
      <c r="F4">
        <v>6</v>
      </c>
      <c r="G4">
        <v>5</v>
      </c>
      <c r="H4">
        <f t="shared" si="0"/>
        <v>30</v>
      </c>
    </row>
    <row r="5" spans="1:8">
      <c r="A5">
        <v>1004</v>
      </c>
      <c r="B5" s="1">
        <v>46024</v>
      </c>
      <c r="C5" t="s">
        <v>8</v>
      </c>
      <c r="D5" t="s">
        <v>9</v>
      </c>
      <c r="E5" t="s">
        <v>15</v>
      </c>
      <c r="F5">
        <v>4.5</v>
      </c>
      <c r="G5">
        <v>7</v>
      </c>
      <c r="H5">
        <f t="shared" si="0"/>
        <v>31.5</v>
      </c>
    </row>
    <row r="6" spans="1:8">
      <c r="A6">
        <v>1005</v>
      </c>
      <c r="B6" s="1">
        <v>46024</v>
      </c>
      <c r="C6" t="s">
        <v>16</v>
      </c>
      <c r="D6" t="s">
        <v>9</v>
      </c>
      <c r="E6" t="s">
        <v>17</v>
      </c>
      <c r="F6">
        <v>3</v>
      </c>
      <c r="G6">
        <v>12</v>
      </c>
      <c r="H6">
        <f t="shared" si="0"/>
        <v>36</v>
      </c>
    </row>
    <row r="7" spans="1:8">
      <c r="A7">
        <v>1006</v>
      </c>
      <c r="B7" s="1">
        <v>46024</v>
      </c>
      <c r="C7" t="s">
        <v>18</v>
      </c>
      <c r="D7" t="s">
        <v>19</v>
      </c>
      <c r="E7" t="s">
        <v>12</v>
      </c>
      <c r="F7">
        <v>3.5</v>
      </c>
      <c r="G7">
        <v>6</v>
      </c>
      <c r="H7">
        <f t="shared" si="0"/>
        <v>21</v>
      </c>
    </row>
    <row r="8" spans="1:8">
      <c r="A8">
        <v>1007</v>
      </c>
      <c r="B8" s="1">
        <v>46025</v>
      </c>
      <c r="C8" t="s">
        <v>20</v>
      </c>
      <c r="D8" t="s">
        <v>9</v>
      </c>
      <c r="E8" t="s">
        <v>10</v>
      </c>
      <c r="F8">
        <v>3.25</v>
      </c>
      <c r="G8">
        <v>15</v>
      </c>
      <c r="H8">
        <f t="shared" si="0"/>
        <v>48.75</v>
      </c>
    </row>
    <row r="9" spans="1:8">
      <c r="A9">
        <v>1008</v>
      </c>
      <c r="B9" s="1">
        <v>46025</v>
      </c>
      <c r="C9" t="s">
        <v>13</v>
      </c>
      <c r="D9" t="s">
        <v>14</v>
      </c>
      <c r="E9" t="s">
        <v>17</v>
      </c>
      <c r="F9">
        <v>6</v>
      </c>
      <c r="G9">
        <v>4</v>
      </c>
      <c r="H9">
        <f t="shared" si="0"/>
        <v>24</v>
      </c>
    </row>
    <row r="10" spans="1:8">
      <c r="A10">
        <v>1009</v>
      </c>
      <c r="B10" s="1">
        <v>46025</v>
      </c>
      <c r="C10" t="s">
        <v>21</v>
      </c>
      <c r="D10" t="s">
        <v>19</v>
      </c>
      <c r="E10" t="s">
        <v>15</v>
      </c>
      <c r="F10">
        <v>2.5</v>
      </c>
      <c r="G10">
        <v>10</v>
      </c>
      <c r="H10">
        <f t="shared" si="0"/>
        <v>25</v>
      </c>
    </row>
    <row r="11" spans="1:8">
      <c r="A11">
        <v>1010</v>
      </c>
      <c r="B11" s="1">
        <v>46026</v>
      </c>
      <c r="C11" t="s">
        <v>8</v>
      </c>
      <c r="D11" t="s">
        <v>9</v>
      </c>
      <c r="E11" t="s">
        <v>12</v>
      </c>
      <c r="F11">
        <v>4.5</v>
      </c>
      <c r="G11">
        <v>9</v>
      </c>
      <c r="H11">
        <f t="shared" si="0"/>
        <v>40.5</v>
      </c>
    </row>
    <row r="12" spans="1:8">
      <c r="A12">
        <v>1011</v>
      </c>
      <c r="B12" s="1">
        <v>46026</v>
      </c>
      <c r="C12" t="s">
        <v>11</v>
      </c>
      <c r="D12" t="s">
        <v>9</v>
      </c>
      <c r="E12" t="s">
        <v>10</v>
      </c>
      <c r="F12">
        <v>4.75</v>
      </c>
      <c r="G12">
        <v>6</v>
      </c>
      <c r="H12">
        <f t="shared" si="0"/>
        <v>28.5</v>
      </c>
    </row>
    <row r="13" spans="1:8">
      <c r="A13">
        <v>1012</v>
      </c>
      <c r="B13" s="1">
        <v>46026</v>
      </c>
      <c r="C13" t="s">
        <v>18</v>
      </c>
      <c r="D13" t="s">
        <v>19</v>
      </c>
      <c r="E13" t="s">
        <v>17</v>
      </c>
      <c r="F13">
        <v>3.5</v>
      </c>
      <c r="G13">
        <v>8</v>
      </c>
      <c r="H13">
        <f t="shared" si="0"/>
        <v>28</v>
      </c>
    </row>
    <row r="14" spans="1:8">
      <c r="A14">
        <v>1013</v>
      </c>
      <c r="B14" s="1">
        <v>46027</v>
      </c>
      <c r="C14" t="s">
        <v>16</v>
      </c>
      <c r="D14" t="s">
        <v>9</v>
      </c>
      <c r="E14" t="s">
        <v>15</v>
      </c>
      <c r="F14">
        <v>3</v>
      </c>
      <c r="G14">
        <v>11</v>
      </c>
      <c r="H14">
        <f t="shared" si="0"/>
        <v>33</v>
      </c>
    </row>
    <row r="15" spans="1:8">
      <c r="A15">
        <v>1014</v>
      </c>
      <c r="B15" s="1">
        <v>46027</v>
      </c>
      <c r="C15" t="s">
        <v>20</v>
      </c>
      <c r="D15" t="s">
        <v>9</v>
      </c>
      <c r="E15" t="s">
        <v>12</v>
      </c>
      <c r="F15">
        <v>3.25</v>
      </c>
      <c r="G15">
        <v>14</v>
      </c>
      <c r="H15">
        <f t="shared" si="0"/>
        <v>45.5</v>
      </c>
    </row>
    <row r="16" spans="1:8">
      <c r="A16">
        <v>1015</v>
      </c>
      <c r="B16" s="1">
        <v>46027</v>
      </c>
      <c r="C16" t="s">
        <v>18</v>
      </c>
      <c r="D16" t="s">
        <v>19</v>
      </c>
      <c r="E16" t="s">
        <v>10</v>
      </c>
      <c r="F16">
        <v>3.5</v>
      </c>
      <c r="G16">
        <v>7</v>
      </c>
      <c r="H16">
        <f t="shared" si="0"/>
        <v>24.5</v>
      </c>
    </row>
    <row r="17" spans="1:8">
      <c r="A17">
        <v>1016</v>
      </c>
      <c r="B17" s="1">
        <v>46028</v>
      </c>
      <c r="C17" t="s">
        <v>8</v>
      </c>
      <c r="D17" t="s">
        <v>9</v>
      </c>
      <c r="E17" t="s">
        <v>17</v>
      </c>
      <c r="F17">
        <v>4.5</v>
      </c>
      <c r="G17">
        <v>10</v>
      </c>
      <c r="H17">
        <f t="shared" si="0"/>
        <v>45</v>
      </c>
    </row>
    <row r="18" spans="1:8">
      <c r="A18">
        <v>1017</v>
      </c>
      <c r="B18" s="1">
        <v>46028</v>
      </c>
      <c r="C18" t="s">
        <v>21</v>
      </c>
      <c r="D18" t="s">
        <v>19</v>
      </c>
      <c r="E18" t="s">
        <v>12</v>
      </c>
      <c r="F18">
        <v>2.5</v>
      </c>
      <c r="G18">
        <v>12</v>
      </c>
      <c r="H18">
        <f t="shared" si="0"/>
        <v>30</v>
      </c>
    </row>
    <row r="19" spans="1:8">
      <c r="A19">
        <v>1018</v>
      </c>
      <c r="B19" s="1">
        <v>46028</v>
      </c>
      <c r="C19" t="s">
        <v>18</v>
      </c>
      <c r="D19" t="s">
        <v>19</v>
      </c>
      <c r="E19" t="s">
        <v>15</v>
      </c>
      <c r="F19">
        <v>3.5</v>
      </c>
      <c r="G19">
        <v>5</v>
      </c>
      <c r="H19">
        <f t="shared" si="0"/>
        <v>17.5</v>
      </c>
    </row>
    <row r="20" spans="1:8">
      <c r="A20">
        <v>1019</v>
      </c>
      <c r="B20" s="1">
        <v>46029</v>
      </c>
      <c r="C20" t="s">
        <v>11</v>
      </c>
      <c r="D20" t="s">
        <v>9</v>
      </c>
      <c r="E20" t="s">
        <v>10</v>
      </c>
      <c r="F20">
        <v>4.75</v>
      </c>
      <c r="G20">
        <v>9</v>
      </c>
      <c r="H20">
        <f t="shared" si="0"/>
        <v>42.75</v>
      </c>
    </row>
    <row r="21" spans="1:8">
      <c r="A21">
        <v>1020</v>
      </c>
      <c r="B21" s="1">
        <v>46029</v>
      </c>
      <c r="C21" t="s">
        <v>16</v>
      </c>
      <c r="D21" t="s">
        <v>9</v>
      </c>
      <c r="E21" t="s">
        <v>12</v>
      </c>
      <c r="F21">
        <v>3</v>
      </c>
      <c r="G21">
        <v>13</v>
      </c>
      <c r="H21">
        <f t="shared" si="0"/>
        <v>39</v>
      </c>
    </row>
    <row r="22" spans="1:8">
      <c r="A22">
        <v>1021</v>
      </c>
      <c r="B22" s="1">
        <v>46029</v>
      </c>
      <c r="C22" t="s">
        <v>20</v>
      </c>
      <c r="D22" t="s">
        <v>9</v>
      </c>
      <c r="E22" t="s">
        <v>17</v>
      </c>
      <c r="F22">
        <v>3.25</v>
      </c>
      <c r="G22">
        <v>16</v>
      </c>
      <c r="H22">
        <f t="shared" si="0"/>
        <v>52</v>
      </c>
    </row>
    <row r="23" spans="1:8">
      <c r="A23">
        <v>1022</v>
      </c>
      <c r="B23" s="1">
        <v>46030</v>
      </c>
      <c r="C23" t="s">
        <v>8</v>
      </c>
      <c r="D23" t="s">
        <v>9</v>
      </c>
      <c r="E23" t="s">
        <v>15</v>
      </c>
      <c r="F23">
        <v>4.5</v>
      </c>
      <c r="G23">
        <v>8</v>
      </c>
      <c r="H23">
        <f t="shared" si="0"/>
        <v>36</v>
      </c>
    </row>
    <row r="24" spans="1:8">
      <c r="A24">
        <v>1023</v>
      </c>
      <c r="B24" s="1">
        <v>46030</v>
      </c>
      <c r="C24" t="s">
        <v>13</v>
      </c>
      <c r="D24" t="s">
        <v>14</v>
      </c>
      <c r="E24" t="s">
        <v>12</v>
      </c>
      <c r="F24">
        <v>6</v>
      </c>
      <c r="G24">
        <v>6</v>
      </c>
      <c r="H24">
        <f t="shared" si="0"/>
        <v>36</v>
      </c>
    </row>
    <row r="25" spans="1:8">
      <c r="A25">
        <v>1024</v>
      </c>
      <c r="B25" s="1">
        <v>46030</v>
      </c>
      <c r="C25" t="s">
        <v>21</v>
      </c>
      <c r="D25" t="s">
        <v>19</v>
      </c>
      <c r="E25" t="s">
        <v>10</v>
      </c>
      <c r="F25">
        <v>2.5</v>
      </c>
      <c r="G25">
        <v>14</v>
      </c>
      <c r="H25">
        <f t="shared" si="0"/>
        <v>35</v>
      </c>
    </row>
    <row r="26" spans="1:8">
      <c r="A26">
        <v>1025</v>
      </c>
      <c r="B26" s="1">
        <v>46031</v>
      </c>
      <c r="C26" t="s">
        <v>11</v>
      </c>
      <c r="D26" t="s">
        <v>9</v>
      </c>
      <c r="E26" t="s">
        <v>17</v>
      </c>
      <c r="F26">
        <v>4.75</v>
      </c>
      <c r="G26">
        <v>7</v>
      </c>
      <c r="H26">
        <f t="shared" si="0"/>
        <v>33.25</v>
      </c>
    </row>
    <row r="27" spans="1:8">
      <c r="A27">
        <v>1026</v>
      </c>
      <c r="B27" s="1">
        <v>46031</v>
      </c>
      <c r="C27" t="s">
        <v>16</v>
      </c>
      <c r="D27" t="s">
        <v>9</v>
      </c>
      <c r="E27" t="s">
        <v>10</v>
      </c>
      <c r="F27">
        <v>3</v>
      </c>
      <c r="G27">
        <v>10</v>
      </c>
      <c r="H27">
        <f t="shared" si="0"/>
        <v>30</v>
      </c>
    </row>
    <row r="28" spans="1:8">
      <c r="A28">
        <v>1027</v>
      </c>
      <c r="B28" s="1">
        <v>46031</v>
      </c>
      <c r="C28" t="s">
        <v>18</v>
      </c>
      <c r="D28" t="s">
        <v>19</v>
      </c>
      <c r="E28" t="s">
        <v>12</v>
      </c>
      <c r="F28">
        <v>3.5</v>
      </c>
      <c r="G28">
        <v>9</v>
      </c>
      <c r="H28">
        <f t="shared" si="0"/>
        <v>31.5</v>
      </c>
    </row>
    <row r="29" spans="1:8">
      <c r="A29">
        <v>1028</v>
      </c>
      <c r="B29" s="1">
        <v>46032</v>
      </c>
      <c r="C29" t="s">
        <v>20</v>
      </c>
      <c r="D29" t="s">
        <v>9</v>
      </c>
      <c r="E29" t="s">
        <v>15</v>
      </c>
      <c r="F29">
        <v>3.25</v>
      </c>
      <c r="G29">
        <v>18</v>
      </c>
      <c r="H29">
        <f t="shared" si="0"/>
        <v>58.5</v>
      </c>
    </row>
    <row r="30" spans="1:8">
      <c r="A30">
        <v>1029</v>
      </c>
      <c r="B30" s="1">
        <v>46032</v>
      </c>
      <c r="C30" t="s">
        <v>8</v>
      </c>
      <c r="D30" t="s">
        <v>9</v>
      </c>
      <c r="E30" t="s">
        <v>12</v>
      </c>
      <c r="F30">
        <v>4.5</v>
      </c>
      <c r="G30">
        <v>11</v>
      </c>
      <c r="H30">
        <f t="shared" si="0"/>
        <v>49.5</v>
      </c>
    </row>
    <row r="31" spans="1:8">
      <c r="A31">
        <v>1030</v>
      </c>
      <c r="B31" s="1">
        <v>46032</v>
      </c>
      <c r="C31" t="s">
        <v>13</v>
      </c>
      <c r="D31" t="s">
        <v>14</v>
      </c>
      <c r="E31" t="s">
        <v>17</v>
      </c>
      <c r="F31">
        <v>6</v>
      </c>
      <c r="G31">
        <v>5</v>
      </c>
      <c r="H31">
        <f t="shared" si="0"/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8EA4-EFD5-411B-B2D2-C3A53382BC94}">
  <dimension ref="A3:B11"/>
  <sheetViews>
    <sheetView workbookViewId="0">
      <selection activeCell="G20" sqref="G20"/>
    </sheetView>
  </sheetViews>
  <sheetFormatPr defaultRowHeight="15"/>
  <cols>
    <col min="1" max="1" width="11.42578125" bestFit="1" customWidth="1"/>
    <col min="2" max="2" width="15.28515625" bestFit="1" customWidth="1"/>
  </cols>
  <sheetData>
    <row r="3" spans="1:2">
      <c r="A3" s="3" t="s">
        <v>2</v>
      </c>
      <c r="B3" t="s">
        <v>22</v>
      </c>
    </row>
    <row r="4" spans="1:2">
      <c r="A4" t="s">
        <v>8</v>
      </c>
      <c r="B4" s="2">
        <v>247.5</v>
      </c>
    </row>
    <row r="5" spans="1:2">
      <c r="A5" t="s">
        <v>20</v>
      </c>
      <c r="B5" s="2">
        <v>204.75</v>
      </c>
    </row>
    <row r="6" spans="1:2">
      <c r="A6" t="s">
        <v>11</v>
      </c>
      <c r="B6" s="2">
        <v>142.5</v>
      </c>
    </row>
    <row r="7" spans="1:2">
      <c r="A7" t="s">
        <v>16</v>
      </c>
      <c r="B7" s="2">
        <v>138</v>
      </c>
    </row>
    <row r="8" spans="1:2">
      <c r="A8" t="s">
        <v>18</v>
      </c>
      <c r="B8" s="2">
        <v>122.5</v>
      </c>
    </row>
    <row r="9" spans="1:2">
      <c r="A9" t="s">
        <v>13</v>
      </c>
      <c r="B9" s="2">
        <v>120</v>
      </c>
    </row>
    <row r="10" spans="1:2">
      <c r="A10" t="s">
        <v>21</v>
      </c>
      <c r="B10" s="2">
        <v>90</v>
      </c>
    </row>
    <row r="11" spans="1:2">
      <c r="A11" t="s">
        <v>23</v>
      </c>
      <c r="B11" s="2">
        <v>1065.25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8051-B347-4E75-B5B1-FBA7BA42C70C}">
  <dimension ref="A3:B8"/>
  <sheetViews>
    <sheetView tabSelected="1" workbookViewId="0">
      <selection activeCell="L17" sqref="L17"/>
    </sheetView>
  </sheetViews>
  <sheetFormatPr defaultRowHeight="15"/>
  <cols>
    <col min="1" max="1" width="11.42578125" bestFit="1" customWidth="1"/>
    <col min="2" max="2" width="15.28515625" bestFit="1" customWidth="1"/>
  </cols>
  <sheetData>
    <row r="3" spans="1:2">
      <c r="A3" s="3" t="s">
        <v>4</v>
      </c>
      <c r="B3" t="s">
        <v>22</v>
      </c>
    </row>
    <row r="4" spans="1:2">
      <c r="A4" t="s">
        <v>12</v>
      </c>
      <c r="B4" s="2">
        <v>331</v>
      </c>
    </row>
    <row r="5" spans="1:2">
      <c r="A5" t="s">
        <v>10</v>
      </c>
      <c r="B5" s="2">
        <v>284.5</v>
      </c>
    </row>
    <row r="6" spans="1:2">
      <c r="A6" t="s">
        <v>17</v>
      </c>
      <c r="B6" s="2">
        <v>248.25</v>
      </c>
    </row>
    <row r="7" spans="1:2">
      <c r="A7" t="s">
        <v>15</v>
      </c>
      <c r="B7" s="2">
        <v>201.5</v>
      </c>
    </row>
    <row r="8" spans="1:2">
      <c r="A8" t="s">
        <v>23</v>
      </c>
      <c r="B8" s="2">
        <v>1065.25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Imran</cp:lastModifiedBy>
  <cp:revision/>
  <dcterms:created xsi:type="dcterms:W3CDTF">2026-01-13T21:45:16Z</dcterms:created>
  <dcterms:modified xsi:type="dcterms:W3CDTF">2026-01-14T04:44:34Z</dcterms:modified>
  <cp:category/>
  <cp:contentStatus/>
</cp:coreProperties>
</file>